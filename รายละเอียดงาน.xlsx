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reerat\Desktop\Project\"/>
    </mc:Choice>
  </mc:AlternateContent>
  <xr:revisionPtr revIDLastSave="0" documentId="13_ncr:1_{9496931B-8491-427C-94DE-48DA998E8A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รายละเอียดงาน" sheetId="1" r:id="rId1"/>
  </sheets>
  <externalReferences>
    <externalReference r:id="rId2"/>
  </externalReferences>
  <definedNames>
    <definedName name="average">'[1]Sub Contact'!#REF!</definedName>
    <definedName name="IP_PBX">#REF!</definedName>
    <definedName name="OLE_LINK1">#REF!</definedName>
    <definedName name="_xlnm.Print_Area" localSheetId="0">รายละเอียดงาน!$A$1:$L$31</definedName>
    <definedName name="_xlnm.Print_Titles" localSheetId="0">รายละเอียดงาน!$1:$3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" i="1" l="1"/>
  <c r="H9" i="1"/>
  <c r="H6" i="1"/>
  <c r="H17" i="1" l="1"/>
  <c r="H14" i="1" l="1"/>
  <c r="H11" i="1"/>
</calcChain>
</file>

<file path=xl/sharedStrings.xml><?xml version="1.0" encoding="utf-8"?>
<sst xmlns="http://schemas.openxmlformats.org/spreadsheetml/2006/main" count="52" uniqueCount="48">
  <si>
    <t>รายละเอียดงาน</t>
  </si>
  <si>
    <t>เริ่มสัญญา</t>
  </si>
  <si>
    <t>สิ้นสุดสัญญา</t>
  </si>
  <si>
    <t>งวดการจ่ายเงิน</t>
  </si>
  <si>
    <t>คิดเป็นร้อยละ</t>
  </si>
  <si>
    <t>90 วัน</t>
  </si>
  <si>
    <t>ลำดับ</t>
  </si>
  <si>
    <t>วันที่ส่งเอกสาร</t>
  </si>
  <si>
    <t>วันที่อนุมัติ</t>
  </si>
  <si>
    <t xml:space="preserve">เงินล่วงหน้า </t>
  </si>
  <si>
    <t>จ่ายเงินล่วงหน้า 15%</t>
  </si>
  <si>
    <t>จ่ายเงินงวดที่ 2</t>
  </si>
  <si>
    <t>จ่ายเงินงวดที่ 3</t>
  </si>
  <si>
    <t>จ่ายเงินงวดที่ 4</t>
  </si>
  <si>
    <t>1) ลงนามสัญญา</t>
  </si>
  <si>
    <t>2) นำส่งหลักประกันเงินล่วงหน้า หนังสือค้ำประกันของธนาคาร</t>
  </si>
  <si>
    <t>ภายในระยะเวลา 30 วัน</t>
  </si>
  <si>
    <t>30 วัน</t>
  </si>
  <si>
    <t>1.1 หนังสือหลักค้ำประกันของธนาคาร</t>
  </si>
  <si>
    <t>สถานะตรวจสอบเอกสาร</t>
  </si>
  <si>
    <t>สถานะ</t>
  </si>
  <si>
    <t>ระยะเวลาดำเนินงาน 365 วัน</t>
  </si>
  <si>
    <t>210 วัน</t>
  </si>
  <si>
    <t>ภายในระยะเวลา 300 วัน</t>
  </si>
  <si>
    <t>ภายในระยะเวลา 365วัน</t>
  </si>
  <si>
    <t>6.8) ทำการเชื่อมโยงเข้ากับโครงข่ายระบบสื่อสารวิทยุเฉพาะกิจ Digital Trunked Radio ของกรมการปกครองและอุปกรณ์ประกอบ</t>
  </si>
  <si>
    <t>6.9) ทดสอบการใช้งานผ่านโครงข่ายระบบสื่อสารวิทยุเฉพาะกิจ Digital Trunked Radio ของกรมการปกครอง</t>
  </si>
  <si>
    <t xml:space="preserve"> - ทดสอบเครื่องวิทยุชนิดประจำที่ สามารถรับสัญญาณแม่ข่ายได้</t>
  </si>
  <si>
    <t xml:space="preserve"> - ทดสอบเครื่องวิทยุชนิดประจำที่ สามารถเรียกเครื่องวิทยุลูกข่ายชนิดประจำที่ สถานีอื่นๆ ได้ที่อยู่ภายใต้พื้นที่สถานีแม่ข่ายเดียวกัน</t>
  </si>
  <si>
    <t xml:space="preserve"> - ทดสอบเครื่องวิทยุชนิดประจำที่ สามารถเรียกเครื่องวิทยุลูกข่ายชนิดประจำที่ สถานีอื่นๆ ได้ที่อยู่นอกพื้นที่สถานีแม่ข่าย แต่อยู่ภายใต้โครงข่ายระบบสื่อสารวิทยุเฉพาะกิจฯ</t>
  </si>
  <si>
    <t>6.10) จัดการฝึกอบรมการใช้งานระบบและสรุปผลการดำเนินการ เป็นการฝึกอบรมใหเจ้าหน้าที่ในขอบเขตพื้นที่ดำเนินการ</t>
  </si>
  <si>
    <t>6.11) จัดทำบัญชีรายการอุปกรณ์ทั้งหมดที่เสนอในโครงการฯ โดยจัดทำเอกสารรายงาน (Hard Copy) จำนวน 7 ชุด และสำเนาในรูปแบบอิเล็กทรอนิกส์ (Soft Copy) จำนวน 7 ชุด</t>
  </si>
  <si>
    <t>จ่ายเงินงวดที่ 1 ข้อ6.1 การดำเนินงานติดตั้ง</t>
  </si>
  <si>
    <t>6.1) ดำเนินการวิเคราะห์ สำรวจ ออกแบบ พื้นที่ติดตั้งอุปกรณ์ตามบัญชีรายชื่อเป้าหมาย</t>
  </si>
  <si>
    <t>1.1 นำส่งผลรายงานการสำรวจและแบบการติดตั้ง</t>
  </si>
  <si>
    <t>6.3) ดำเนินการขยาย Capacity ของ BSSC และติดตั้งชุดระบบบริหารจัดการ SD-WAN, ชุดสั่งการ Dispatcher Console</t>
  </si>
  <si>
    <t>1.1 นำส่งผลรายงานการติดตั้งเสาสื่อสารและติดตั้งชุดอุปกรณ์</t>
  </si>
  <si>
    <t>1.2 นำส่งแบบการติดตั้งเสาสื่อสารและติดตั้งชุดอุปกรณ์</t>
  </si>
  <si>
    <t>6.5) ดำเนินการติดตั้งเสาสื่อสารทำหน้าที่รับ-ส่งสัญญาณ ณ พื้นที่กลุ่มเป้าหมาย ความสูงไม่น้อยกว่า 9 เมตร (181 ต้น)</t>
  </si>
  <si>
    <t>6.4) ดำเนินการติดตั้งเสาสื่อสาร ณ ที่ทำการปกครองหรือพื้นที่เป้าหมาย เสาความสูง 60 เมตร (8 ต้น)</t>
  </si>
  <si>
    <t>6.2) ดำเนินการติดตั้งเสาสื่อสาร ณ ที่ทำการปกครองหรือพื้นที่เป้าหมาย เสาความสูง 60 เมตร (8 ต้น)</t>
  </si>
  <si>
    <t>1.1 รายงานผลการเชื่อมโยงเข้ากับโครงข่ายระบบสื่อสาร</t>
  </si>
  <si>
    <t>1.2 รายงานผลทดสอบการใช้งานผ่านโครงข่ายระบบสื่อสาร</t>
  </si>
  <si>
    <t>1.3 รายงานผลการฝึกอบรม 3 หลักสูตร</t>
  </si>
  <si>
    <t>1.4 รายงานบัญชีรายการครุภัณฑ์ทั้งหมดของโครงการ</t>
  </si>
  <si>
    <t>เอกสารที่ส่งมอบ</t>
  </si>
  <si>
    <t>จำนวนวันตามงวดงาน</t>
  </si>
  <si>
    <t>วันที่สิ้นสุดตามงวดงาน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</si>
</sst>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[$-107041E]d\ mmm\ yy;@"/>
  </numFmts>
  <fonts count="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u/>
      <sz val="20"/>
      <name val="TH Sarabun New"/>
      <family val="2"/>
    </font>
    <font>
      <sz val="16"/>
      <color theme="1"/>
      <name val="TH Sarabun New"/>
      <family val="2"/>
    </font>
    <font>
      <b/>
      <sz val="16"/>
      <name val="TH Sarabun New"/>
      <family val="2"/>
    </font>
    <font>
      <b/>
      <sz val="16"/>
      <color theme="1"/>
      <name val="TH Sarabun New"/>
      <family val="2"/>
    </font>
    <font>
      <b/>
      <u/>
      <sz val="16"/>
      <color theme="1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0" applyFont="1"/>
    <xf numFmtId="0" fontId="5" fillId="4" borderId="12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187" fontId="5" fillId="4" borderId="10" xfId="0" applyNumberFormat="1" applyFont="1" applyFill="1" applyBorder="1" applyAlignment="1">
      <alignment horizontal="center" vertical="center"/>
    </xf>
    <xf numFmtId="187" fontId="5" fillId="4" borderId="16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top"/>
    </xf>
    <xf numFmtId="0" fontId="6" fillId="3" borderId="21" xfId="0" applyFont="1" applyFill="1" applyBorder="1" applyAlignment="1">
      <alignment horizontal="center" vertical="top"/>
    </xf>
    <xf numFmtId="0" fontId="6" fillId="3" borderId="1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3" xfId="0" applyFont="1" applyFill="1" applyBorder="1"/>
    <xf numFmtId="0" fontId="4" fillId="2" borderId="9" xfId="0" applyFont="1" applyFill="1" applyBorder="1"/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2" borderId="3" xfId="0" applyFont="1" applyFill="1" applyBorder="1" applyAlignment="1">
      <alignment horizontal="left"/>
    </xf>
    <xf numFmtId="187" fontId="4" fillId="2" borderId="3" xfId="0" applyNumberFormat="1" applyFont="1" applyFill="1" applyBorder="1" applyAlignment="1">
      <alignment horizontal="center" vertical="center"/>
    </xf>
    <xf numFmtId="187" fontId="4" fillId="2" borderId="4" xfId="0" applyNumberFormat="1" applyFont="1" applyFill="1" applyBorder="1" applyAlignment="1">
      <alignment horizontal="center" vertical="center"/>
    </xf>
    <xf numFmtId="187" fontId="4" fillId="2" borderId="13" xfId="0" applyNumberFormat="1" applyFont="1" applyFill="1" applyBorder="1" applyAlignment="1">
      <alignment horizontal="left" vertical="center"/>
    </xf>
    <xf numFmtId="14" fontId="4" fillId="2" borderId="9" xfId="0" applyNumberFormat="1" applyFont="1" applyFill="1" applyBorder="1" applyAlignment="1">
      <alignment horizontal="center" vertical="center"/>
    </xf>
    <xf numFmtId="187" fontId="4" fillId="2" borderId="8" xfId="0" applyNumberFormat="1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187" fontId="4" fillId="2" borderId="4" xfId="0" applyNumberFormat="1" applyFont="1" applyFill="1" applyBorder="1" applyAlignment="1">
      <alignment horizontal="center"/>
    </xf>
    <xf numFmtId="0" fontId="4" fillId="2" borderId="4" xfId="0" applyFont="1" applyFill="1" applyBorder="1"/>
    <xf numFmtId="0" fontId="4" fillId="2" borderId="1" xfId="0" applyFont="1" applyFill="1" applyBorder="1"/>
    <xf numFmtId="0" fontId="4" fillId="0" borderId="0" xfId="0" applyFont="1" applyAlignment="1">
      <alignment horizontal="center"/>
    </xf>
    <xf numFmtId="0" fontId="4" fillId="2" borderId="1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9" fontId="4" fillId="2" borderId="3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9" fontId="4" fillId="2" borderId="14" xfId="0" applyNumberFormat="1" applyFont="1" applyFill="1" applyBorder="1" applyAlignment="1">
      <alignment horizontal="center" vertical="center"/>
    </xf>
    <xf numFmtId="9" fontId="4" fillId="2" borderId="22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9" fontId="4" fillId="2" borderId="11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/>
    </xf>
  </cellXfs>
  <cellStyles count="2">
    <cellStyle name="Comma 2" xfId="1" xr:uid="{1E12B9C4-2631-493B-8275-D987891BEE35}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ttapol/AppData/Local/Microsoft/Windows/Temporary%20Internet%20Files/Content.Outlook/JVJC9ZIF/Pending%20case.xlsx" TargetMode="External"/><Relationship Id="rId1" Type="http://schemas.openxmlformats.org/officeDocument/2006/relationships/externalLinkPath" Target="/Users/attapol/AppData/Local/Microsoft/Windows/Temporary%20Internet%20Files/Content.Outlook/JVJC9ZIF/Pending%20c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b Contac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zoomScale="70" zoomScaleNormal="70" zoomScaleSheetLayoutView="55" workbookViewId="0">
      <selection activeCell="A11" sqref="A11:F11"/>
    </sheetView>
  </sheetViews>
  <sheetFormatPr defaultColWidth="8.8984375" defaultRowHeight="24.6" x14ac:dyDescent="0.7"/>
  <cols>
    <col min="1" max="1" width="6.296875" style="1" customWidth="1"/>
    <col min="2" max="2" width="14.09765625" style="1" customWidth="1"/>
    <col min="3" max="3" width="14.69921875" style="1" customWidth="1"/>
    <col min="4" max="4" width="18.796875" style="1" customWidth="1"/>
    <col min="5" max="5" width="15.59765625" style="1" customWidth="1"/>
    <col min="6" max="6" width="73.8984375" style="1" customWidth="1"/>
    <col min="7" max="7" width="22.59765625" style="1" customWidth="1"/>
    <col min="8" max="8" width="22.3984375" style="1" customWidth="1"/>
    <col min="9" max="9" width="49.09765625" style="1" customWidth="1"/>
    <col min="10" max="10" width="17.796875" style="1" hidden="1" customWidth="1"/>
    <col min="11" max="11" width="28.3984375" style="31" hidden="1" customWidth="1"/>
    <col min="12" max="12" width="17.796875" style="1" hidden="1" customWidth="1"/>
    <col min="13" max="16384" width="8.8984375" style="1"/>
  </cols>
  <sheetData>
    <row r="1" spans="1:12" ht="55.8" customHeight="1" thickBot="1" x14ac:dyDescent="0.7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</row>
    <row r="2" spans="1:12" ht="36" customHeight="1" thickBot="1" x14ac:dyDescent="0.75">
      <c r="A2" s="2"/>
      <c r="B2" s="3" t="s">
        <v>1</v>
      </c>
      <c r="C2" s="4">
        <v>45861</v>
      </c>
      <c r="D2" s="3" t="s">
        <v>2</v>
      </c>
      <c r="E2" s="5">
        <v>46226</v>
      </c>
      <c r="F2" s="47" t="s">
        <v>21</v>
      </c>
      <c r="G2" s="48"/>
      <c r="H2" s="48"/>
      <c r="I2" s="49"/>
      <c r="J2" s="47" t="s">
        <v>19</v>
      </c>
      <c r="K2" s="48"/>
      <c r="L2" s="49"/>
    </row>
    <row r="3" spans="1:12" ht="36" customHeight="1" x14ac:dyDescent="0.7">
      <c r="A3" s="6" t="s">
        <v>6</v>
      </c>
      <c r="B3" s="7" t="s">
        <v>3</v>
      </c>
      <c r="C3" s="7" t="s">
        <v>4</v>
      </c>
      <c r="D3" s="46" t="s">
        <v>0</v>
      </c>
      <c r="E3" s="46"/>
      <c r="F3" s="46"/>
      <c r="G3" s="7" t="s">
        <v>46</v>
      </c>
      <c r="H3" s="8" t="s">
        <v>47</v>
      </c>
      <c r="I3" s="9" t="s">
        <v>45</v>
      </c>
      <c r="J3" s="10" t="s">
        <v>7</v>
      </c>
      <c r="K3" s="7" t="s">
        <v>20</v>
      </c>
      <c r="L3" s="11" t="s">
        <v>8</v>
      </c>
    </row>
    <row r="4" spans="1:12" ht="28.2" customHeight="1" x14ac:dyDescent="0.7">
      <c r="A4" s="42" t="s">
        <v>10</v>
      </c>
      <c r="B4" s="43"/>
      <c r="C4" s="43"/>
      <c r="D4" s="43"/>
      <c r="E4" s="43"/>
      <c r="F4" s="43"/>
      <c r="G4" s="12"/>
      <c r="H4" s="13"/>
      <c r="I4" s="14"/>
      <c r="J4" s="15"/>
      <c r="K4" s="16"/>
      <c r="L4" s="17"/>
    </row>
    <row r="5" spans="1:12" ht="26.4" customHeight="1" x14ac:dyDescent="0.7">
      <c r="A5" s="44"/>
      <c r="B5" s="45" t="s">
        <v>9</v>
      </c>
      <c r="C5" s="41">
        <v>0.15</v>
      </c>
      <c r="D5" s="34" t="s">
        <v>14</v>
      </c>
      <c r="E5" s="34"/>
      <c r="F5" s="34"/>
      <c r="G5" s="19" t="s">
        <v>17</v>
      </c>
      <c r="H5" s="20">
        <f>C2+30</f>
        <v>45891</v>
      </c>
      <c r="I5" s="21"/>
      <c r="J5" s="22"/>
      <c r="K5" s="19"/>
      <c r="L5" s="23"/>
    </row>
    <row r="6" spans="1:12" ht="26.4" customHeight="1" x14ac:dyDescent="0.7">
      <c r="A6" s="44"/>
      <c r="B6" s="45"/>
      <c r="C6" s="41"/>
      <c r="D6" s="18" t="s">
        <v>15</v>
      </c>
      <c r="E6" s="18"/>
      <c r="F6" s="18"/>
      <c r="G6" s="19" t="s">
        <v>17</v>
      </c>
      <c r="H6" s="20">
        <f>C2+30</f>
        <v>45891</v>
      </c>
      <c r="I6" s="21" t="s">
        <v>18</v>
      </c>
      <c r="J6" s="22"/>
      <c r="K6" s="19"/>
      <c r="L6" s="23"/>
    </row>
    <row r="7" spans="1:12" ht="26.4" customHeight="1" x14ac:dyDescent="0.7">
      <c r="A7" s="44"/>
      <c r="B7" s="45"/>
      <c r="C7" s="41"/>
      <c r="D7" s="56"/>
      <c r="E7" s="57"/>
      <c r="F7" s="58"/>
      <c r="G7" s="19"/>
      <c r="H7" s="20"/>
      <c r="I7" s="21"/>
      <c r="J7" s="22"/>
      <c r="K7" s="19"/>
      <c r="L7" s="24"/>
    </row>
    <row r="8" spans="1:12" ht="28.2" customHeight="1" x14ac:dyDescent="0.7">
      <c r="A8" s="59" t="s">
        <v>32</v>
      </c>
      <c r="B8" s="43"/>
      <c r="C8" s="43"/>
      <c r="D8" s="43"/>
      <c r="E8" s="43"/>
      <c r="F8" s="43"/>
      <c r="G8" s="12" t="s">
        <v>16</v>
      </c>
      <c r="H8" s="13"/>
      <c r="I8" s="14"/>
      <c r="J8" s="15"/>
      <c r="K8" s="16"/>
      <c r="L8" s="17"/>
    </row>
    <row r="9" spans="1:12" ht="26.4" customHeight="1" x14ac:dyDescent="0.7">
      <c r="A9" s="54">
        <v>1</v>
      </c>
      <c r="B9" s="52">
        <v>1</v>
      </c>
      <c r="C9" s="50">
        <v>0.1</v>
      </c>
      <c r="D9" s="34" t="s">
        <v>33</v>
      </c>
      <c r="E9" s="34"/>
      <c r="F9" s="34"/>
      <c r="G9" s="19" t="s">
        <v>5</v>
      </c>
      <c r="H9" s="20">
        <f>C2+90</f>
        <v>45951</v>
      </c>
      <c r="I9" s="21" t="s">
        <v>34</v>
      </c>
      <c r="J9" s="22"/>
      <c r="K9" s="19"/>
      <c r="L9" s="23"/>
    </row>
    <row r="10" spans="1:12" ht="26.4" customHeight="1" x14ac:dyDescent="0.7">
      <c r="A10" s="55"/>
      <c r="B10" s="53"/>
      <c r="C10" s="51"/>
      <c r="D10" s="34"/>
      <c r="E10" s="34"/>
      <c r="F10" s="34"/>
      <c r="G10" s="19"/>
      <c r="H10" s="20"/>
      <c r="I10" s="21"/>
      <c r="J10" s="22"/>
      <c r="K10" s="19"/>
      <c r="L10" s="23"/>
    </row>
    <row r="11" spans="1:12" ht="28.2" customHeight="1" x14ac:dyDescent="0.7">
      <c r="A11" s="42" t="s">
        <v>11</v>
      </c>
      <c r="B11" s="43"/>
      <c r="C11" s="43"/>
      <c r="D11" s="43"/>
      <c r="E11" s="43"/>
      <c r="F11" s="43"/>
      <c r="G11" s="19" t="s">
        <v>22</v>
      </c>
      <c r="H11" s="20">
        <f>C2+210</f>
        <v>46071</v>
      </c>
      <c r="I11" s="14"/>
      <c r="J11" s="15"/>
      <c r="K11" s="16"/>
      <c r="L11" s="17"/>
    </row>
    <row r="12" spans="1:12" ht="26.4" customHeight="1" x14ac:dyDescent="0.7">
      <c r="A12" s="54">
        <v>2</v>
      </c>
      <c r="B12" s="52">
        <v>2</v>
      </c>
      <c r="C12" s="50">
        <v>0.35</v>
      </c>
      <c r="D12" s="34" t="s">
        <v>40</v>
      </c>
      <c r="E12" s="34"/>
      <c r="F12" s="34"/>
      <c r="G12" s="19"/>
      <c r="H12" s="20"/>
      <c r="I12" s="32" t="s">
        <v>36</v>
      </c>
      <c r="J12" s="32">
        <v>1.1000000000000001</v>
      </c>
      <c r="K12" s="32">
        <v>1.1000000000000001</v>
      </c>
      <c r="L12" s="32">
        <v>1.1000000000000001</v>
      </c>
    </row>
    <row r="13" spans="1:12" ht="26.4" customHeight="1" x14ac:dyDescent="0.7">
      <c r="A13" s="55"/>
      <c r="B13" s="53"/>
      <c r="C13" s="51"/>
      <c r="D13" s="25" t="s">
        <v>35</v>
      </c>
      <c r="E13" s="26"/>
      <c r="F13" s="27"/>
      <c r="G13" s="19"/>
      <c r="H13" s="20"/>
      <c r="I13" s="32" t="s">
        <v>37</v>
      </c>
      <c r="J13" s="22"/>
      <c r="K13" s="19"/>
      <c r="L13" s="23"/>
    </row>
    <row r="14" spans="1:12" ht="28.2" customHeight="1" x14ac:dyDescent="0.7">
      <c r="A14" s="42" t="s">
        <v>12</v>
      </c>
      <c r="B14" s="43"/>
      <c r="C14" s="43"/>
      <c r="D14" s="65"/>
      <c r="E14" s="65"/>
      <c r="F14" s="65"/>
      <c r="G14" s="12" t="s">
        <v>23</v>
      </c>
      <c r="H14" s="28">
        <f>C2+300</f>
        <v>46161</v>
      </c>
      <c r="I14" s="14"/>
      <c r="J14" s="15"/>
      <c r="K14" s="16"/>
      <c r="L14" s="17"/>
    </row>
    <row r="15" spans="1:12" ht="26.4" customHeight="1" x14ac:dyDescent="0.7">
      <c r="A15" s="44">
        <v>3</v>
      </c>
      <c r="B15" s="45">
        <v>3</v>
      </c>
      <c r="C15" s="41">
        <v>0.3</v>
      </c>
      <c r="D15" s="34" t="s">
        <v>39</v>
      </c>
      <c r="E15" s="34"/>
      <c r="F15" s="34"/>
      <c r="G15" s="19"/>
      <c r="H15" s="20"/>
      <c r="I15" s="32" t="s">
        <v>36</v>
      </c>
      <c r="J15" s="22"/>
      <c r="K15" s="19"/>
      <c r="L15" s="23"/>
    </row>
    <row r="16" spans="1:12" ht="26.4" customHeight="1" x14ac:dyDescent="0.7">
      <c r="A16" s="44"/>
      <c r="B16" s="45"/>
      <c r="C16" s="41"/>
      <c r="D16" s="34" t="s">
        <v>38</v>
      </c>
      <c r="E16" s="34"/>
      <c r="F16" s="34"/>
      <c r="G16" s="19"/>
      <c r="H16" s="20"/>
      <c r="I16" s="32" t="s">
        <v>37</v>
      </c>
      <c r="J16" s="22"/>
      <c r="K16" s="19"/>
      <c r="L16" s="23"/>
    </row>
    <row r="17" spans="1:12" ht="28.2" customHeight="1" x14ac:dyDescent="0.7">
      <c r="A17" s="60" t="s">
        <v>13</v>
      </c>
      <c r="B17" s="61"/>
      <c r="C17" s="61"/>
      <c r="D17" s="61"/>
      <c r="E17" s="61"/>
      <c r="F17" s="61"/>
      <c r="G17" s="12" t="s">
        <v>24</v>
      </c>
      <c r="H17" s="28">
        <f>C2+365</f>
        <v>46226</v>
      </c>
      <c r="I17" s="32" t="s">
        <v>41</v>
      </c>
      <c r="J17" s="15"/>
      <c r="K17" s="16"/>
      <c r="L17" s="17"/>
    </row>
    <row r="18" spans="1:12" ht="26.4" customHeight="1" x14ac:dyDescent="0.7">
      <c r="A18" s="54">
        <v>4</v>
      </c>
      <c r="B18" s="52">
        <v>4</v>
      </c>
      <c r="C18" s="50">
        <v>0.1</v>
      </c>
      <c r="D18" s="34" t="s">
        <v>25</v>
      </c>
      <c r="E18" s="34"/>
      <c r="F18" s="34"/>
      <c r="G18" s="19"/>
      <c r="H18" s="20"/>
      <c r="I18" s="32" t="s">
        <v>42</v>
      </c>
      <c r="J18" s="22"/>
      <c r="K18" s="19"/>
      <c r="L18" s="23"/>
    </row>
    <row r="19" spans="1:12" ht="26.4" customHeight="1" x14ac:dyDescent="0.7">
      <c r="A19" s="55"/>
      <c r="B19" s="53"/>
      <c r="C19" s="51"/>
      <c r="D19" s="34" t="s">
        <v>26</v>
      </c>
      <c r="E19" s="34"/>
      <c r="F19" s="34"/>
      <c r="G19" s="19"/>
      <c r="H19" s="20"/>
      <c r="I19" s="32" t="s">
        <v>43</v>
      </c>
      <c r="J19" s="22"/>
      <c r="K19" s="19"/>
      <c r="L19" s="23"/>
    </row>
    <row r="20" spans="1:12" ht="26.4" customHeight="1" x14ac:dyDescent="0.7">
      <c r="A20" s="55"/>
      <c r="B20" s="53"/>
      <c r="C20" s="51"/>
      <c r="D20" s="29" t="s">
        <v>27</v>
      </c>
      <c r="E20" s="30"/>
      <c r="F20" s="15"/>
      <c r="G20" s="19"/>
      <c r="H20" s="20"/>
      <c r="I20" s="32" t="s">
        <v>44</v>
      </c>
      <c r="J20" s="22"/>
      <c r="K20" s="19"/>
      <c r="L20" s="23"/>
    </row>
    <row r="21" spans="1:12" ht="26.4" customHeight="1" x14ac:dyDescent="0.7">
      <c r="A21" s="55"/>
      <c r="B21" s="53"/>
      <c r="C21" s="51"/>
      <c r="D21" s="29" t="s">
        <v>28</v>
      </c>
      <c r="E21" s="33"/>
      <c r="F21" s="27"/>
      <c r="G21" s="19"/>
      <c r="H21" s="20"/>
      <c r="I21" s="21"/>
      <c r="J21" s="22"/>
      <c r="K21" s="19"/>
      <c r="L21" s="23"/>
    </row>
    <row r="22" spans="1:12" ht="26.4" customHeight="1" x14ac:dyDescent="0.7">
      <c r="A22" s="55"/>
      <c r="B22" s="53"/>
      <c r="C22" s="51"/>
      <c r="D22" s="35" t="s">
        <v>29</v>
      </c>
      <c r="E22" s="36"/>
      <c r="F22" s="37"/>
      <c r="G22" s="19"/>
      <c r="H22" s="20"/>
      <c r="I22" s="21"/>
      <c r="J22" s="22"/>
      <c r="K22" s="19"/>
      <c r="L22" s="23"/>
    </row>
    <row r="23" spans="1:12" ht="26.4" customHeight="1" x14ac:dyDescent="0.7">
      <c r="A23" s="55"/>
      <c r="B23" s="53"/>
      <c r="C23" s="51"/>
      <c r="D23" s="35" t="s">
        <v>30</v>
      </c>
      <c r="E23" s="36"/>
      <c r="F23" s="37"/>
      <c r="G23" s="19"/>
      <c r="H23" s="20"/>
      <c r="I23" s="21"/>
      <c r="J23" s="22"/>
      <c r="K23" s="19"/>
      <c r="L23" s="23"/>
    </row>
    <row r="24" spans="1:12" ht="26.4" customHeight="1" x14ac:dyDescent="0.7">
      <c r="A24" s="64"/>
      <c r="B24" s="63"/>
      <c r="C24" s="62"/>
      <c r="D24" s="35" t="s">
        <v>31</v>
      </c>
      <c r="E24" s="36"/>
      <c r="F24" s="37"/>
      <c r="G24" s="19"/>
      <c r="H24" s="20"/>
      <c r="I24" s="21"/>
      <c r="J24" s="22"/>
      <c r="K24" s="19"/>
      <c r="L24" s="23"/>
    </row>
  </sheetData>
  <mergeCells count="36">
    <mergeCell ref="A15:A16"/>
    <mergeCell ref="A14:F14"/>
    <mergeCell ref="D16:F16"/>
    <mergeCell ref="B15:B16"/>
    <mergeCell ref="C15:C16"/>
    <mergeCell ref="D15:F15"/>
    <mergeCell ref="A17:F17"/>
    <mergeCell ref="D19:F19"/>
    <mergeCell ref="C18:C24"/>
    <mergeCell ref="D22:F22"/>
    <mergeCell ref="D23:F23"/>
    <mergeCell ref="B18:B24"/>
    <mergeCell ref="A18:A24"/>
    <mergeCell ref="D18:F18"/>
    <mergeCell ref="D24:F24"/>
    <mergeCell ref="D12:F12"/>
    <mergeCell ref="A4:F4"/>
    <mergeCell ref="A8:F8"/>
    <mergeCell ref="D9:F9"/>
    <mergeCell ref="D7:F7"/>
    <mergeCell ref="C12:C13"/>
    <mergeCell ref="B12:B13"/>
    <mergeCell ref="A12:A13"/>
    <mergeCell ref="D10:F10"/>
    <mergeCell ref="A1:L1"/>
    <mergeCell ref="C5:C7"/>
    <mergeCell ref="A11:F11"/>
    <mergeCell ref="A5:A7"/>
    <mergeCell ref="B5:B7"/>
    <mergeCell ref="D3:F3"/>
    <mergeCell ref="D5:F5"/>
    <mergeCell ref="F2:I2"/>
    <mergeCell ref="J2:L2"/>
    <mergeCell ref="C9:C10"/>
    <mergeCell ref="B9:B10"/>
    <mergeCell ref="A9:A10"/>
  </mergeCells>
  <phoneticPr fontId="2" type="noConversion"/>
  <printOptions horizontalCentered="1"/>
  <pageMargins left="0.23622047244094491" right="0.15748031496062992" top="0.39370078740157483" bottom="0.27559055118110237" header="0.31496062992125984" footer="0.31496062992125984"/>
  <pageSetup scale="40" orientation="portrait" r:id="rId1"/>
  <colBreaks count="1" manualBreakCount="1">
    <brk id="9" max="6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รายละเอียดงาน</vt:lpstr>
      <vt:lpstr>รายละเอียดงาน!Print_Area</vt:lpstr>
      <vt:lpstr>รายละเอียดงาน!Print_Titles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sureerat</dc:creator>
  <cp:lastModifiedBy>nsddopa1@forthcorp.onmicrosoft.com</cp:lastModifiedBy>
  <cp:lastPrinted>2025-10-29T08:09:47Z</cp:lastPrinted>
  <dcterms:created xsi:type="dcterms:W3CDTF">2020-04-28T01:41:19Z</dcterms:created>
  <dcterms:modified xsi:type="dcterms:W3CDTF">2026-09-18T02:55:39Z</dcterms:modified>
</cp:coreProperties>
</file>