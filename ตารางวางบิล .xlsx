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reerat\Desktop\Project web\Project_1\"/>
    </mc:Choice>
  </mc:AlternateContent>
  <xr:revisionPtr revIDLastSave="0" documentId="13_ncr:1_{6457E0D4-C3A0-4945-8D91-048E3E2973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9" r:id="rId1"/>
  </sheets>
  <externalReferences>
    <externalReference r:id="rId2"/>
  </externalReferences>
  <definedNames>
    <definedName name="average">'[1]Sub Contact'!#REF!</definedName>
    <definedName name="IP_PBX">#REF!</definedName>
    <definedName name="OLE_LINK1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9" l="1"/>
  <c r="B8" i="9" s="1"/>
  <c r="B5" i="9" l="1"/>
  <c r="B9" i="9"/>
  <c r="B10" i="9"/>
  <c r="B11" i="9"/>
  <c r="B12" i="9"/>
  <c r="C9" i="9" l="1"/>
  <c r="D9" i="9" s="1"/>
  <c r="C8" i="9"/>
  <c r="D8" i="9" s="1"/>
  <c r="B13" i="9"/>
  <c r="C12" i="9"/>
  <c r="D12" i="9" s="1"/>
  <c r="C11" i="9" l="1"/>
  <c r="D11" i="9" s="1"/>
  <c r="C10" i="9"/>
  <c r="D10" i="9" s="1"/>
  <c r="D13" i="9" s="1"/>
  <c r="C13" i="9" l="1"/>
</calcChain>
</file>

<file path=xl/sharedStrings.xml><?xml version="1.0" encoding="utf-8"?>
<sst xmlns="http://schemas.openxmlformats.org/spreadsheetml/2006/main" count="33" uniqueCount="32">
  <si>
    <t>เริ่มสัญญา</t>
  </si>
  <si>
    <t>สิ้นสุดสัญญา</t>
  </si>
  <si>
    <t>Vat</t>
  </si>
  <si>
    <t>IO :</t>
  </si>
  <si>
    <t>สัญญา</t>
  </si>
  <si>
    <t>ยอดเงินในสัญญา</t>
  </si>
  <si>
    <t>รวมVat</t>
  </si>
  <si>
    <t>การรับเงิน</t>
  </si>
  <si>
    <t>ก่อนVat</t>
  </si>
  <si>
    <t>งวดเงินล่วงหน้า 15%</t>
  </si>
  <si>
    <t>งวดที่ 4 10%</t>
  </si>
  <si>
    <t>วันที่วางบิลตาม TOR</t>
  </si>
  <si>
    <t>งวดที่ 1 10%</t>
  </si>
  <si>
    <t>งวดที่ 2 35%</t>
  </si>
  <si>
    <t>งวดที่ 3 30%</t>
  </si>
  <si>
    <t>ราคารวมภาษี</t>
  </si>
  <si>
    <t>คณะกรรมการพิจารณาเห็นชอบ</t>
  </si>
  <si>
    <t>วันที่รับเงิน</t>
  </si>
  <si>
    <t>กระบวนการนี้ใช้เวลาประมาณ 20-30 วัน</t>
  </si>
  <si>
    <t>กองทุนพิจารณา
ให้วางบิลได้</t>
  </si>
  <si>
    <t>วันที่คาดว่าจะได้รับเงิน</t>
  </si>
  <si>
    <t>ขั้นตอนการวางบิล</t>
  </si>
  <si>
    <t>ตารางการวางบิล</t>
  </si>
  <si>
    <t>บริษัทฯ ทำหนังสือส่งมอบงานให้คณะกรรมการฯ พิจารณา</t>
  </si>
  <si>
    <r>
      <t xml:space="preserve">คณะกรรมการฯ ดำเนินการพิจารณา
</t>
    </r>
    <r>
      <rPr>
        <sz val="14"/>
        <color rgb="FFFF0000"/>
        <rFont val="Cordia New"/>
        <family val="2"/>
      </rPr>
      <t>ภายใน 20 วัน</t>
    </r>
  </si>
  <si>
    <t>คณะกรรมการฯ จัดทำใบตรวจรับการจัดซื้อ/จัดจ้าง
ส่งกองพัสดุ</t>
  </si>
  <si>
    <t>กองทุนพิจารณา เห็นชอบ
แจ้งกลับมาที่คณะกรรมการฯ และกรรมการแจ้งบริษัทฯ ให้สามารถวางบิลได้</t>
  </si>
  <si>
    <t>บริษัทฯ จัดทำหนังสือและใบแจ้งหนี้ วางบิลกับประธานคณะกรรมการฯ</t>
  </si>
  <si>
    <t>คณะกรรมการฯ นำส่งใบแจ้งหนี้ให้กองทุนฯ</t>
  </si>
  <si>
    <t xml:space="preserve">รอกองทุนฯ ส่งอีเมล์แจ้งให้บริษัทฯ ไปรับเช็คพร้อมใบกำกับภาษี/ใบเสร็จรับเงิน </t>
  </si>
  <si>
    <r>
      <t xml:space="preserve">คณะกรรมการฯ พิจารณาเห็นชอบการส่งมอบงาน
</t>
    </r>
    <r>
      <rPr>
        <sz val="14"/>
        <color rgb="FFFF0000"/>
        <rFont val="Cordia New"/>
        <family val="2"/>
      </rPr>
      <t>ภายใน 20 วัน</t>
    </r>
  </si>
  <si>
    <t>เจ้าหน้าที่พัสดุแจ้งให้บริษัทฯ รับเอกสารใบตรวจรับได้ที่เจ้าหน้าที่พัสดุ และกองพัสดุฯ ส่งนำหนังสือให้กองทุนฯ  พิจารณา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</si>
</sst>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87" formatCode="_(* #,##0.00_);_(* \(#,##0.00\);_(* &quot;-&quot;??_);_(@_)"/>
    <numFmt numFmtId="188" formatCode="[$-107041E]d\ mmm\ yy;@"/>
    <numFmt numFmtId="189" formatCode="_(* #,##0_);_(* \(#,##0\);_(* &quot;-&quot;??_);_(@_)"/>
    <numFmt numFmtId="190" formatCode="[$-107041E]d\ mmmm\ yyyy;@"/>
    <numFmt numFmtId="191" formatCode="[$-101041E]d\ mmm\ yy;@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b/>
      <sz val="14"/>
      <color theme="1"/>
      <name val="Cordia New"/>
      <family val="2"/>
    </font>
    <font>
      <sz val="14"/>
      <color theme="1"/>
      <name val="Cordia New"/>
      <family val="2"/>
    </font>
    <font>
      <b/>
      <sz val="14"/>
      <color rgb="FF0000FF"/>
      <name val="Cordia New"/>
      <family val="2"/>
    </font>
    <font>
      <sz val="14"/>
      <color rgb="FFFF0000"/>
      <name val="Cordia New"/>
      <family val="2"/>
    </font>
    <font>
      <b/>
      <sz val="14"/>
      <name val="Cordia New"/>
      <family val="2"/>
    </font>
    <font>
      <b/>
      <sz val="14"/>
      <color theme="2" tint="-0.499984740745262"/>
      <name val="Cordia New"/>
      <family val="2"/>
    </font>
    <font>
      <b/>
      <sz val="14"/>
      <color rgb="FFFF0000"/>
      <name val="Cordia New"/>
      <family val="2"/>
    </font>
    <font>
      <b/>
      <sz val="20"/>
      <color rgb="FFFF0000"/>
      <name val="Cordia Ne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8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 applyAlignment="1">
      <alignment horizontal="right"/>
    </xf>
    <xf numFmtId="0" fontId="3" fillId="0" borderId="0" xfId="0" applyFont="1"/>
    <xf numFmtId="43" fontId="4" fillId="0" borderId="0" xfId="2" applyFont="1"/>
    <xf numFmtId="0" fontId="2" fillId="0" borderId="0" xfId="0" applyFont="1" applyAlignment="1">
      <alignment horizontal="center"/>
    </xf>
    <xf numFmtId="187" fontId="4" fillId="0" borderId="0" xfId="0" applyNumberFormat="1" applyFont="1"/>
    <xf numFmtId="189" fontId="4" fillId="0" borderId="0" xfId="1" applyNumberFormat="1" applyFont="1" applyAlignment="1">
      <alignment horizontal="left" indent="1"/>
    </xf>
    <xf numFmtId="190" fontId="4" fillId="0" borderId="2" xfId="0" applyNumberFormat="1" applyFont="1" applyBorder="1" applyAlignment="1">
      <alignment horizontal="center"/>
    </xf>
    <xf numFmtId="190" fontId="6" fillId="0" borderId="2" xfId="0" applyNumberFormat="1" applyFont="1" applyBorder="1" applyAlignment="1">
      <alignment horizontal="center"/>
    </xf>
    <xf numFmtId="0" fontId="4" fillId="0" borderId="0" xfId="0" applyFont="1" applyAlignment="1">
      <alignment vertical="center"/>
    </xf>
    <xf numFmtId="187" fontId="2" fillId="0" borderId="0" xfId="0" applyNumberFormat="1" applyFont="1"/>
    <xf numFmtId="188" fontId="2" fillId="2" borderId="2" xfId="2" applyNumberFormat="1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8" fillId="7" borderId="13" xfId="0" applyFont="1" applyFill="1" applyBorder="1"/>
    <xf numFmtId="188" fontId="2" fillId="2" borderId="2" xfId="0" applyNumberFormat="1" applyFont="1" applyFill="1" applyBorder="1" applyAlignment="1">
      <alignment horizontal="center"/>
    </xf>
    <xf numFmtId="0" fontId="7" fillId="2" borderId="4" xfId="0" applyFont="1" applyFill="1" applyBorder="1"/>
    <xf numFmtId="0" fontId="7" fillId="2" borderId="14" xfId="0" applyFont="1" applyFill="1" applyBorder="1"/>
    <xf numFmtId="0" fontId="3" fillId="4" borderId="8" xfId="0" applyFont="1" applyFill="1" applyBorder="1" applyAlignment="1">
      <alignment horizontal="center"/>
    </xf>
    <xf numFmtId="187" fontId="4" fillId="0" borderId="0" xfId="1" applyFont="1"/>
    <xf numFmtId="43" fontId="4" fillId="0" borderId="0" xfId="0" applyNumberFormat="1" applyFont="1"/>
    <xf numFmtId="43" fontId="9" fillId="7" borderId="4" xfId="0" applyNumberFormat="1" applyFont="1" applyFill="1" applyBorder="1"/>
    <xf numFmtId="43" fontId="9" fillId="7" borderId="15" xfId="0" applyNumberFormat="1" applyFont="1" applyFill="1" applyBorder="1"/>
    <xf numFmtId="43" fontId="7" fillId="2" borderId="4" xfId="0" applyNumberFormat="1" applyFont="1" applyFill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87" fontId="4" fillId="0" borderId="0" xfId="0" applyNumberFormat="1" applyFont="1" applyAlignment="1">
      <alignment horizontal="center"/>
    </xf>
    <xf numFmtId="187" fontId="4" fillId="0" borderId="0" xfId="1" applyFont="1" applyAlignment="1">
      <alignment horizontal="center"/>
    </xf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191" fontId="4" fillId="2" borderId="6" xfId="0" applyNumberFormat="1" applyFont="1" applyFill="1" applyBorder="1" applyAlignment="1">
      <alignment horizontal="center"/>
    </xf>
    <xf numFmtId="191" fontId="4" fillId="2" borderId="6" xfId="0" applyNumberFormat="1" applyFont="1" applyFill="1" applyBorder="1"/>
    <xf numFmtId="4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2" borderId="5" xfId="0" applyFont="1" applyFill="1" applyBorder="1"/>
    <xf numFmtId="43" fontId="2" fillId="2" borderId="2" xfId="0" applyNumberFormat="1" applyFont="1" applyFill="1" applyBorder="1"/>
    <xf numFmtId="43" fontId="2" fillId="2" borderId="3" xfId="0" applyNumberFormat="1" applyFont="1" applyFill="1" applyBorder="1"/>
    <xf numFmtId="191" fontId="2" fillId="2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</cellXfs>
  <cellStyles count="3">
    <cellStyle name="Comma" xfId="1" builtinId="3"/>
    <cellStyle name="Comma 2" xfId="2" xr:uid="{1E12B9C4-2631-493B-8275-D987891BEE35}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1067137</xdr:colOff>
      <xdr:row>15</xdr:row>
      <xdr:rowOff>53340</xdr:rowOff>
    </xdr:from>
    <xdr:to>
      <xdr:col>10</xdr:col>
      <xdr:colOff>1067137</xdr:colOff>
      <xdr:row>16</xdr:row>
      <xdr:rowOff>247650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0D12266-5299-5E9D-D0C9-DE72C7D896EC}"/>
            </a:ext>
          </a:extLst>
        </xdr:cNvPr>
        <xdr:cNvCxnSpPr/>
      </xdr:nvCxnSpPr>
      <xdr:spPr>
        <a:xfrm>
          <a:off x="14727108" y="4714987"/>
          <a:ext cx="0" cy="46325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1058396</xdr:colOff>
      <xdr:row>21</xdr:row>
      <xdr:rowOff>41349</xdr:rowOff>
    </xdr:from>
    <xdr:to>
      <xdr:col>10</xdr:col>
      <xdr:colOff>1058396</xdr:colOff>
      <xdr:row>22</xdr:row>
      <xdr:rowOff>226134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10D685D-46E6-4598-AADB-745A1F0FAA0C}"/>
            </a:ext>
          </a:extLst>
        </xdr:cNvPr>
        <xdr:cNvCxnSpPr/>
      </xdr:nvCxnSpPr>
      <xdr:spPr>
        <a:xfrm>
          <a:off x="14718367" y="6988996"/>
          <a:ext cx="0" cy="45372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1037890</xdr:colOff>
      <xdr:row>27</xdr:row>
      <xdr:rowOff>41349</xdr:rowOff>
    </xdr:from>
    <xdr:to>
      <xdr:col>10</xdr:col>
      <xdr:colOff>1037890</xdr:colOff>
      <xdr:row>28</xdr:row>
      <xdr:rowOff>226134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5A6CCFB-2F5B-44AF-BE0E-45DB307AD596}"/>
            </a:ext>
          </a:extLst>
        </xdr:cNvPr>
        <xdr:cNvCxnSpPr/>
      </xdr:nvCxnSpPr>
      <xdr:spPr>
        <a:xfrm>
          <a:off x="14697861" y="8199231"/>
          <a:ext cx="0" cy="45372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1020297</xdr:colOff>
      <xdr:row>30</xdr:row>
      <xdr:rowOff>55469</xdr:rowOff>
    </xdr:from>
    <xdr:to>
      <xdr:col>10</xdr:col>
      <xdr:colOff>1020297</xdr:colOff>
      <xdr:row>31</xdr:row>
      <xdr:rowOff>245968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93A2366B-F63C-4EEC-ACAA-EABA135C2D69}"/>
            </a:ext>
          </a:extLst>
        </xdr:cNvPr>
        <xdr:cNvCxnSpPr/>
      </xdr:nvCxnSpPr>
      <xdr:spPr>
        <a:xfrm>
          <a:off x="14680268" y="9423587"/>
          <a:ext cx="0" cy="45944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1020297</xdr:colOff>
      <xdr:row>30</xdr:row>
      <xdr:rowOff>55469</xdr:rowOff>
    </xdr:from>
    <xdr:to>
      <xdr:col>10</xdr:col>
      <xdr:colOff>1020297</xdr:colOff>
      <xdr:row>31</xdr:row>
      <xdr:rowOff>245968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13FB172D-74D2-4B5F-B6F2-0F7472C0911C}"/>
            </a:ext>
          </a:extLst>
        </xdr:cNvPr>
        <xdr:cNvCxnSpPr/>
      </xdr:nvCxnSpPr>
      <xdr:spPr>
        <a:xfrm>
          <a:off x="14680268" y="9423587"/>
          <a:ext cx="0" cy="45944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1029598</xdr:colOff>
      <xdr:row>33</xdr:row>
      <xdr:rowOff>21627</xdr:rowOff>
    </xdr:from>
    <xdr:to>
      <xdr:col>10</xdr:col>
      <xdr:colOff>1029598</xdr:colOff>
      <xdr:row>34</xdr:row>
      <xdr:rowOff>212127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820B6F81-8DDD-4E5C-A1A9-B5134ACD9604}"/>
            </a:ext>
          </a:extLst>
        </xdr:cNvPr>
        <xdr:cNvCxnSpPr/>
      </xdr:nvCxnSpPr>
      <xdr:spPr>
        <a:xfrm>
          <a:off x="14689569" y="10588774"/>
          <a:ext cx="0" cy="45944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1021978</xdr:colOff>
      <xdr:row>36</xdr:row>
      <xdr:rowOff>57373</xdr:rowOff>
    </xdr:from>
    <xdr:to>
      <xdr:col>10</xdr:col>
      <xdr:colOff>1021978</xdr:colOff>
      <xdr:row>38</xdr:row>
      <xdr:rowOff>3025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F6DC700A-1086-4EA6-9755-F3A2EB721E97}"/>
            </a:ext>
          </a:extLst>
        </xdr:cNvPr>
        <xdr:cNvCxnSpPr/>
      </xdr:nvCxnSpPr>
      <xdr:spPr>
        <a:xfrm>
          <a:off x="14681949" y="11834755"/>
          <a:ext cx="0" cy="41629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1021978</xdr:colOff>
      <xdr:row>36</xdr:row>
      <xdr:rowOff>57373</xdr:rowOff>
    </xdr:from>
    <xdr:to>
      <xdr:col>10</xdr:col>
      <xdr:colOff>1021978</xdr:colOff>
      <xdr:row>38</xdr:row>
      <xdr:rowOff>3025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AE1BF53B-FDA6-4006-BA60-9B358B0B36E8}"/>
            </a:ext>
          </a:extLst>
        </xdr:cNvPr>
        <xdr:cNvCxnSpPr/>
      </xdr:nvCxnSpPr>
      <xdr:spPr>
        <a:xfrm>
          <a:off x="14681949" y="11834755"/>
          <a:ext cx="0" cy="41629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1075765</xdr:colOff>
      <xdr:row>18</xdr:row>
      <xdr:rowOff>22412</xdr:rowOff>
    </xdr:from>
    <xdr:to>
      <xdr:col>10</xdr:col>
      <xdr:colOff>1075765</xdr:colOff>
      <xdr:row>19</xdr:row>
      <xdr:rowOff>218627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6B11DE37-D36E-4C4B-BE3A-685A6014482E}"/>
            </a:ext>
          </a:extLst>
        </xdr:cNvPr>
        <xdr:cNvCxnSpPr/>
      </xdr:nvCxnSpPr>
      <xdr:spPr>
        <a:xfrm>
          <a:off x="14735736" y="5759824"/>
          <a:ext cx="0" cy="46515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553811</xdr:colOff>
      <xdr:row>26</xdr:row>
      <xdr:rowOff>478156</xdr:rowOff>
    </xdr:from>
    <xdr:to>
      <xdr:col>11</xdr:col>
      <xdr:colOff>935083</xdr:colOff>
      <xdr:row>35</xdr:row>
      <xdr:rowOff>217715</xdr:rowOff>
    </xdr:to>
    <xdr:sp macro="" textlink="">
      <xdr:nvSpPr>
        <xdr:cNvPr id="34" name="Right Brace 33">
          <a:extLst>
            <a:ext uri="{FF2B5EF4-FFF2-40B4-BE49-F238E27FC236}">
              <a16:creationId xmlns:a16="http://schemas.microsoft.com/office/drawing/2014/main" id="{034B2333-821C-7B58-5AF6-7376C7F2DF17}"/>
            </a:ext>
          </a:extLst>
        </xdr:cNvPr>
        <xdr:cNvSpPr/>
      </xdr:nvSpPr>
      <xdr:spPr>
        <a:xfrm>
          <a:off x="16378918" y="7962085"/>
          <a:ext cx="381272" cy="335905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10</xdr:col>
      <xdr:colOff>1058396</xdr:colOff>
      <xdr:row>24</xdr:row>
      <xdr:rowOff>41349</xdr:rowOff>
    </xdr:from>
    <xdr:to>
      <xdr:col>10</xdr:col>
      <xdr:colOff>1058396</xdr:colOff>
      <xdr:row>25</xdr:row>
      <xdr:rowOff>226134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5189F23-D05F-4CB3-9CFC-6A52A115FA9D}"/>
            </a:ext>
          </a:extLst>
        </xdr:cNvPr>
        <xdr:cNvCxnSpPr/>
      </xdr:nvCxnSpPr>
      <xdr:spPr>
        <a:xfrm>
          <a:off x="13776176" y="6929829"/>
          <a:ext cx="0" cy="45148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ttapol/AppData/Local/Microsoft/Windows/Temporary%20Internet%20Files/Content.Outlook/JVJC9ZIF/Pending%20case.xlsx" TargetMode="External"/><Relationship Id="rId1" Type="http://schemas.openxmlformats.org/officeDocument/2006/relationships/externalLinkPath" Target="/Users/attapol/AppData/Local/Microsoft/Windows/Temporary%20Internet%20Files/Content.Outlook/JVJC9ZIF/Pending%20c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b Contac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B483-6E97-44E2-A216-DF7C5B62B6C5}">
  <sheetPr>
    <tabColor rgb="FF00B0F0"/>
  </sheetPr>
  <dimension ref="A1:P39"/>
  <sheetViews>
    <sheetView tabSelected="1" topLeftCell="E33" zoomScaleNormal="100" zoomScaleSheetLayoutView="85" workbookViewId="0">
      <selection activeCell="M40" sqref="M40"/>
    </sheetView>
  </sheetViews>
  <sheetFormatPr defaultColWidth="9" defaultRowHeight="21" x14ac:dyDescent="0.6"/>
  <cols>
    <col min="1" max="1" width="22.69921875" style="1" customWidth="1"/>
    <col min="2" max="2" width="15.69921875" style="1" customWidth="1"/>
    <col min="3" max="3" width="14.09765625" style="1" customWidth="1"/>
    <col min="4" max="4" width="16.59765625" style="1" customWidth="1"/>
    <col min="5" max="5" width="15.69921875" style="1" customWidth="1"/>
    <col min="6" max="6" width="15.19921875" style="1" customWidth="1"/>
    <col min="7" max="7" width="16.69921875" style="1" customWidth="1"/>
    <col min="8" max="8" width="17" style="1" customWidth="1"/>
    <col min="9" max="9" width="18" style="1" customWidth="1"/>
    <col min="10" max="10" width="15.19921875" style="33" customWidth="1"/>
    <col min="11" max="11" width="34.3984375" style="1" customWidth="1"/>
    <col min="12" max="12" width="12.8984375" style="1" customWidth="1"/>
    <col min="13" max="13" width="22.5" style="1" customWidth="1"/>
    <col min="14" max="14" width="19" style="1" customWidth="1"/>
    <col min="15" max="16384" width="9" style="1"/>
  </cols>
  <sheetData>
    <row r="1" spans="1:11" ht="26.4" customHeight="1" x14ac:dyDescent="0.6">
      <c r="A1" s="48" t="s">
        <v>22</v>
      </c>
      <c r="B1" s="49"/>
      <c r="C1" s="49"/>
      <c r="D1" s="49"/>
      <c r="E1" s="49"/>
      <c r="F1" s="49"/>
      <c r="G1" s="49"/>
      <c r="H1" s="49"/>
      <c r="I1" s="49"/>
      <c r="J1" s="50"/>
    </row>
    <row r="2" spans="1:11" x14ac:dyDescent="0.6">
      <c r="A2" s="2" t="s">
        <v>3</v>
      </c>
      <c r="B2" s="3"/>
      <c r="D2" s="22" t="s">
        <v>0</v>
      </c>
      <c r="E2" s="22" t="s">
        <v>1</v>
      </c>
      <c r="F2" s="5"/>
    </row>
    <row r="3" spans="1:11" x14ac:dyDescent="0.6">
      <c r="A3" s="2" t="s">
        <v>4</v>
      </c>
      <c r="B3" s="28"/>
      <c r="D3" s="8"/>
      <c r="E3" s="9"/>
      <c r="F3" s="5"/>
    </row>
    <row r="4" spans="1:11" x14ac:dyDescent="0.6">
      <c r="A4" s="2" t="s">
        <v>5</v>
      </c>
      <c r="B4" s="24">
        <f>B6*100/107</f>
        <v>93457943.925233647</v>
      </c>
      <c r="C4" s="4"/>
      <c r="D4" s="24"/>
      <c r="E4" s="6"/>
      <c r="F4" s="11"/>
    </row>
    <row r="5" spans="1:11" x14ac:dyDescent="0.6">
      <c r="A5" s="5" t="s">
        <v>2</v>
      </c>
      <c r="B5" s="24">
        <f>B6-B4</f>
        <v>6542056.0747663528</v>
      </c>
      <c r="C5" s="6"/>
      <c r="D5" s="24"/>
    </row>
    <row r="6" spans="1:11" ht="21.6" thickBot="1" x14ac:dyDescent="0.65">
      <c r="A6" s="5" t="s">
        <v>6</v>
      </c>
      <c r="B6" s="23">
        <v>100000000</v>
      </c>
      <c r="D6" s="23"/>
      <c r="H6" s="6"/>
      <c r="I6" s="7"/>
    </row>
    <row r="7" spans="1:11" s="10" customFormat="1" ht="40.799999999999997" x14ac:dyDescent="0.25">
      <c r="A7" s="13" t="s">
        <v>7</v>
      </c>
      <c r="B7" s="14" t="s">
        <v>8</v>
      </c>
      <c r="C7" s="14" t="s">
        <v>2</v>
      </c>
      <c r="D7" s="15" t="s">
        <v>15</v>
      </c>
      <c r="E7" s="14" t="s">
        <v>11</v>
      </c>
      <c r="F7" s="16" t="s">
        <v>16</v>
      </c>
      <c r="G7" s="16" t="s">
        <v>19</v>
      </c>
      <c r="H7" s="17" t="s">
        <v>20</v>
      </c>
      <c r="I7" s="17" t="s">
        <v>17</v>
      </c>
      <c r="J7" s="33"/>
    </row>
    <row r="8" spans="1:11" x14ac:dyDescent="0.6">
      <c r="A8" s="43" t="s">
        <v>9</v>
      </c>
      <c r="B8" s="44">
        <f>B4*15%</f>
        <v>14018691.588785047</v>
      </c>
      <c r="C8" s="44">
        <f>B8*7%</f>
        <v>981308.4112149534</v>
      </c>
      <c r="D8" s="45">
        <f>B8+C8</f>
        <v>15000000</v>
      </c>
      <c r="E8" s="19"/>
      <c r="F8" s="19"/>
      <c r="G8" s="12"/>
      <c r="H8" s="46"/>
      <c r="I8" s="46"/>
    </row>
    <row r="9" spans="1:11" x14ac:dyDescent="0.6">
      <c r="A9" s="43" t="s">
        <v>12</v>
      </c>
      <c r="B9" s="44">
        <f>B4*10%</f>
        <v>9345794.3925233651</v>
      </c>
      <c r="C9" s="44">
        <f>B9*7%</f>
        <v>654205.6074766356</v>
      </c>
      <c r="D9" s="45">
        <f>B9+C9</f>
        <v>10000000</v>
      </c>
      <c r="E9" s="19"/>
      <c r="F9" s="19"/>
      <c r="G9" s="12"/>
      <c r="H9" s="34"/>
      <c r="I9" s="34"/>
    </row>
    <row r="10" spans="1:11" x14ac:dyDescent="0.6">
      <c r="A10" s="43" t="s">
        <v>13</v>
      </c>
      <c r="B10" s="44">
        <f>B4*35%</f>
        <v>32710280.373831775</v>
      </c>
      <c r="C10" s="44">
        <f t="shared" ref="C10:C12" si="0">B10*7%</f>
        <v>2289719.6261682245</v>
      </c>
      <c r="D10" s="45">
        <f>B10+C10</f>
        <v>35000000</v>
      </c>
      <c r="E10" s="19"/>
      <c r="F10" s="19"/>
      <c r="G10" s="12"/>
      <c r="H10" s="34"/>
      <c r="I10" s="34"/>
    </row>
    <row r="11" spans="1:11" x14ac:dyDescent="0.6">
      <c r="A11" s="43" t="s">
        <v>14</v>
      </c>
      <c r="B11" s="44">
        <f>B4*30%</f>
        <v>28037383.177570093</v>
      </c>
      <c r="C11" s="44">
        <f t="shared" si="0"/>
        <v>1962616.8224299068</v>
      </c>
      <c r="D11" s="45">
        <f>B11+C11</f>
        <v>30000000</v>
      </c>
      <c r="E11" s="19"/>
      <c r="F11" s="19"/>
      <c r="G11" s="12"/>
      <c r="H11" s="34"/>
      <c r="I11" s="34"/>
    </row>
    <row r="12" spans="1:11" ht="21.6" customHeight="1" x14ac:dyDescent="0.6">
      <c r="A12" s="43" t="s">
        <v>10</v>
      </c>
      <c r="B12" s="44">
        <f>B4*10%</f>
        <v>9345794.3925233651</v>
      </c>
      <c r="C12" s="44">
        <f t="shared" si="0"/>
        <v>654205.6074766356</v>
      </c>
      <c r="D12" s="45">
        <f>B12+C12</f>
        <v>10000000</v>
      </c>
      <c r="E12" s="19"/>
      <c r="F12" s="19"/>
      <c r="G12" s="12"/>
      <c r="H12" s="34"/>
      <c r="I12" s="35"/>
    </row>
    <row r="13" spans="1:11" ht="21.6" thickBot="1" x14ac:dyDescent="0.65">
      <c r="A13" s="18"/>
      <c r="B13" s="25">
        <f>SUM(B8:B12)</f>
        <v>93457943.925233647</v>
      </c>
      <c r="C13" s="25">
        <f t="shared" ref="C13:D13" si="1">SUM(C8:C12)</f>
        <v>6542056.0747663565</v>
      </c>
      <c r="D13" s="26">
        <f t="shared" si="1"/>
        <v>100000000</v>
      </c>
      <c r="E13" s="27"/>
      <c r="F13" s="20"/>
      <c r="G13" s="20"/>
      <c r="H13" s="21"/>
      <c r="K13" s="47" t="s">
        <v>21</v>
      </c>
    </row>
    <row r="14" spans="1:11" ht="21.6" thickTop="1" x14ac:dyDescent="0.6"/>
    <row r="15" spans="1:11" ht="42" x14ac:dyDescent="0.6">
      <c r="D15" s="6"/>
      <c r="J15" s="33">
        <v>1</v>
      </c>
      <c r="K15" s="42" t="s">
        <v>23</v>
      </c>
    </row>
    <row r="16" spans="1:11" s="29" customFormat="1" x14ac:dyDescent="0.6">
      <c r="B16" s="30"/>
      <c r="J16" s="33"/>
    </row>
    <row r="17" spans="4:16" s="29" customFormat="1" x14ac:dyDescent="0.6">
      <c r="J17" s="33"/>
    </row>
    <row r="18" spans="4:16" s="29" customFormat="1" ht="42" x14ac:dyDescent="0.6">
      <c r="J18" s="33">
        <v>2</v>
      </c>
      <c r="K18" s="42" t="s">
        <v>24</v>
      </c>
      <c r="M18" s="38"/>
    </row>
    <row r="19" spans="4:16" s="29" customFormat="1" x14ac:dyDescent="0.6">
      <c r="J19" s="33"/>
    </row>
    <row r="20" spans="4:16" s="29" customFormat="1" x14ac:dyDescent="0.6">
      <c r="D20" s="31"/>
      <c r="E20" s="32"/>
      <c r="J20" s="33"/>
    </row>
    <row r="21" spans="4:16" s="33" customFormat="1" ht="52.8" customHeight="1" x14ac:dyDescent="0.25">
      <c r="D21" s="36"/>
      <c r="E21" s="36"/>
      <c r="J21" s="33">
        <v>3</v>
      </c>
      <c r="K21" s="42" t="s">
        <v>30</v>
      </c>
      <c r="N21" s="37"/>
    </row>
    <row r="22" spans="4:16" s="29" customFormat="1" x14ac:dyDescent="0.6">
      <c r="J22" s="33"/>
    </row>
    <row r="23" spans="4:16" s="29" customFormat="1" x14ac:dyDescent="0.6">
      <c r="J23" s="33"/>
    </row>
    <row r="24" spans="4:16" s="33" customFormat="1" ht="52.8" customHeight="1" x14ac:dyDescent="0.25">
      <c r="D24" s="36"/>
      <c r="E24" s="36"/>
      <c r="J24" s="33">
        <v>4</v>
      </c>
      <c r="K24" s="42" t="s">
        <v>25</v>
      </c>
      <c r="N24" s="37"/>
    </row>
    <row r="25" spans="4:16" s="29" customFormat="1" x14ac:dyDescent="0.6">
      <c r="J25" s="33"/>
    </row>
    <row r="26" spans="4:16" s="29" customFormat="1" x14ac:dyDescent="0.6">
      <c r="J26" s="33"/>
    </row>
    <row r="27" spans="4:16" s="29" customFormat="1" ht="70.8" customHeight="1" x14ac:dyDescent="0.6">
      <c r="I27" s="38"/>
      <c r="J27" s="33">
        <v>5</v>
      </c>
      <c r="K27" s="39" t="s">
        <v>31</v>
      </c>
      <c r="L27" s="37"/>
    </row>
    <row r="28" spans="4:16" s="29" customFormat="1" x14ac:dyDescent="0.6">
      <c r="J28" s="33"/>
    </row>
    <row r="29" spans="4:16" s="29" customFormat="1" x14ac:dyDescent="0.6">
      <c r="J29" s="33"/>
    </row>
    <row r="30" spans="4:16" s="29" customFormat="1" ht="52.8" customHeight="1" x14ac:dyDescent="0.6">
      <c r="I30" s="38"/>
      <c r="J30" s="33">
        <v>6</v>
      </c>
      <c r="K30" s="40" t="s">
        <v>26</v>
      </c>
    </row>
    <row r="31" spans="4:16" s="29" customFormat="1" x14ac:dyDescent="0.6">
      <c r="J31" s="33"/>
      <c r="M31" s="51" t="s">
        <v>18</v>
      </c>
      <c r="N31" s="51"/>
      <c r="O31" s="51"/>
      <c r="P31" s="51"/>
    </row>
    <row r="32" spans="4:16" s="29" customFormat="1" ht="20.399999999999999" customHeight="1" x14ac:dyDescent="0.6">
      <c r="J32" s="33"/>
      <c r="M32" s="51"/>
      <c r="N32" s="51"/>
      <c r="O32" s="51"/>
      <c r="P32" s="51"/>
    </row>
    <row r="33" spans="9:11" s="29" customFormat="1" ht="67.2" customHeight="1" x14ac:dyDescent="0.6">
      <c r="I33" s="38"/>
      <c r="J33" s="33">
        <v>7</v>
      </c>
      <c r="K33" s="41" t="s">
        <v>27</v>
      </c>
    </row>
    <row r="34" spans="9:11" s="29" customFormat="1" x14ac:dyDescent="0.6">
      <c r="J34" s="33"/>
    </row>
    <row r="35" spans="9:11" s="29" customFormat="1" x14ac:dyDescent="0.6">
      <c r="J35" s="33"/>
    </row>
    <row r="36" spans="9:11" s="29" customFormat="1" ht="52.8" customHeight="1" x14ac:dyDescent="0.6">
      <c r="I36" s="38"/>
      <c r="J36" s="33">
        <v>8</v>
      </c>
      <c r="K36" s="41" t="s">
        <v>28</v>
      </c>
    </row>
    <row r="37" spans="9:11" s="29" customFormat="1" ht="18.600000000000001" customHeight="1" x14ac:dyDescent="0.6">
      <c r="J37" s="33"/>
    </row>
    <row r="38" spans="9:11" s="29" customFormat="1" ht="18.600000000000001" customHeight="1" x14ac:dyDescent="0.6">
      <c r="I38" s="38"/>
      <c r="J38" s="33"/>
    </row>
    <row r="39" spans="9:11" s="29" customFormat="1" ht="69" customHeight="1" x14ac:dyDescent="0.6">
      <c r="J39" s="33">
        <v>9</v>
      </c>
      <c r="K39" s="41" t="s">
        <v>29</v>
      </c>
    </row>
  </sheetData>
  <mergeCells count="2">
    <mergeCell ref="A1:J1"/>
    <mergeCell ref="M31:P32"/>
  </mergeCells>
  <pageMargins left="0.31" right="0.31496062992125984" top="0.5" bottom="0.35433070866141736" header="0" footer="0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sureerat</dc:creator>
  <cp:lastModifiedBy>nsddopa1@forthcorp.onmicrosoft.com</cp:lastModifiedBy>
  <cp:lastPrinted>2025-10-29T08:09:47Z</cp:lastPrinted>
  <dcterms:created xsi:type="dcterms:W3CDTF">2020-04-28T01:41:19Z</dcterms:created>
  <dcterms:modified xsi:type="dcterms:W3CDTF">2026-10-08T04:50:08Z</dcterms:modified>
</cp:coreProperties>
</file>